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filterPrivacy="1" codeName="ThisWorkbook" defaultThemeVersion="166925"/>
  <xr:revisionPtr revIDLastSave="0" documentId="13_ncr:1_{C72CDC32-4E35-47DA-BC1B-BCF19A7DFCB7}" xr6:coauthVersionLast="47" xr6:coauthVersionMax="47" xr10:uidLastSave="{00000000-0000-0000-0000-000000000000}"/>
  <bookViews>
    <workbookView xWindow="-120" yWindow="-120" windowWidth="29040" windowHeight="17520" xr2:uid="{DC1DB150-C008-4827-A203-973F6C5A708A}"/>
  </bookViews>
  <sheets>
    <sheet name="Regnskab Q4 2023" sheetId="2" r:id="rId1"/>
  </sheets>
  <functionGroups builtInGroupCount="19"/>
  <definedNames>
    <definedName name="ExternalData_1" localSheetId="0" hidden="1">'Regnskab Q4 2023'!$A$1:$F$51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3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61C012-5829-482C-BDC6-2F8D5DD92A10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<sst xmlns="http://schemas.openxmlformats.org/spreadsheetml/2006/main" count="107" uniqueCount="87">
  <si>
    <t>Produkt ID</t>
  </si>
  <si>
    <t>Produktnavn</t>
  </si>
  <si>
    <t>Kategori</t>
  </si>
  <si>
    <t>Pris</t>
  </si>
  <si>
    <t>Antal solgt</t>
  </si>
  <si>
    <t>Lego Classic Building Bricks</t>
  </si>
  <si>
    <t>Byggeklodser</t>
  </si>
  <si>
    <t>Barbie Dreamhouse</t>
  </si>
  <si>
    <t>Dukkehuse</t>
  </si>
  <si>
    <t>Nerf N-Strike Elite Blaster</t>
  </si>
  <si>
    <t>Nerf</t>
  </si>
  <si>
    <t>Hot Wheels Ultimate Garage</t>
  </si>
  <si>
    <t>Biler og køretøjer</t>
  </si>
  <si>
    <t>Paw Patrol Adventure Bay Playset</t>
  </si>
  <si>
    <t>Paw Patrol</t>
  </si>
  <si>
    <t>Frozen II Elsa Doll</t>
  </si>
  <si>
    <t>Disney-figurer</t>
  </si>
  <si>
    <t>Transformers Optimus Prime Action Figure</t>
  </si>
  <si>
    <t>Action-figurer</t>
  </si>
  <si>
    <t>Monopoly Classic Board Game</t>
  </si>
  <si>
    <t>Brætspil</t>
  </si>
  <si>
    <t>Teddy Bear Plush Toy</t>
  </si>
  <si>
    <t>Bamser</t>
  </si>
  <si>
    <t>Xbox Series X Game Console</t>
  </si>
  <si>
    <t>Spilkonsoller</t>
  </si>
  <si>
    <t>LEGO Technic Excavator</t>
  </si>
  <si>
    <t>American Girl Doll</t>
  </si>
  <si>
    <t>Legetøjsdukker</t>
  </si>
  <si>
    <t>Nintendo Switch Lite</t>
  </si>
  <si>
    <t>Fisher-Price Baby Swing</t>
  </si>
  <si>
    <t>Babylegetøj</t>
  </si>
  <si>
    <t>Harry Potter Wizard Chess Set</t>
  </si>
  <si>
    <t>Marvel Avengers Action Figures</t>
  </si>
  <si>
    <t>Barbie Fashion Doll</t>
  </si>
  <si>
    <t>Mode og tilbehør</t>
  </si>
  <si>
    <t>Little Tikes Cozy Coupe</t>
  </si>
  <si>
    <t>Ridetøj</t>
  </si>
  <si>
    <t>LEGO Star Wars Millennium Falcon</t>
  </si>
  <si>
    <t>My Little Pony Playset</t>
  </si>
  <si>
    <t>My Little Pony</t>
  </si>
  <si>
    <t>Hot Wheels Track Builder Set</t>
  </si>
  <si>
    <t>Fisher-Price Laugh &amp; Learn Puppy</t>
  </si>
  <si>
    <t>Play-Doh Fun Factory</t>
  </si>
  <si>
    <t>Modellervoks</t>
  </si>
  <si>
    <t>VTech Smart Shots Sports Center</t>
  </si>
  <si>
    <t>Læring og leg</t>
  </si>
  <si>
    <t>Pikachu Plush Toy</t>
  </si>
  <si>
    <t>Pokemon</t>
  </si>
  <si>
    <t>Uno Card Game</t>
  </si>
  <si>
    <t>Minnie Mouse Bowtique Cash Register</t>
  </si>
  <si>
    <t>LeapFrog LeapPad Learning Tablet</t>
  </si>
  <si>
    <t>Hot Wheels Monster Trucks</t>
  </si>
  <si>
    <t xml:space="preserve"> Biler og køretøjer</t>
  </si>
  <si>
    <t>Fisher-Price Rock 'n Play Sleeper</t>
  </si>
  <si>
    <t>LEGO Friends Heartlake City</t>
  </si>
  <si>
    <t>Barbie Ken Doll</t>
  </si>
  <si>
    <t>Dukker</t>
  </si>
  <si>
    <t>Playmobil Pirate Ship</t>
  </si>
  <si>
    <t>Playmobil</t>
  </si>
  <si>
    <t>Nintendo Switch Pro Controller</t>
  </si>
  <si>
    <t>Polly Pocket Compact Playset</t>
  </si>
  <si>
    <t>Polly Pocket</t>
  </si>
  <si>
    <t>Baby Einstein Take Along Tunes</t>
  </si>
  <si>
    <t>Melissa &amp; Doug Wooden Building Blocks</t>
  </si>
  <si>
    <t>Trælegetøj</t>
  </si>
  <si>
    <t>Transformers Bumblebee Action Figure</t>
  </si>
  <si>
    <t>Disney Princess Royal Carriage</t>
  </si>
  <si>
    <t>L.O.L. Surprise! Dolls</t>
  </si>
  <si>
    <t>L.O.L. Surprise!</t>
  </si>
  <si>
    <t>VTech KidiZoom Camera</t>
  </si>
  <si>
    <t>Sesame Street Elmo Plush Toy</t>
  </si>
  <si>
    <t>Sesame Street</t>
  </si>
  <si>
    <t>Crayola Inspiration Art Case</t>
  </si>
  <si>
    <t>Kreativt legetøj</t>
  </si>
  <si>
    <t>Beyblade Burst Battle Set</t>
  </si>
  <si>
    <t>Beyblade</t>
  </si>
  <si>
    <t>FurReal Friends Ricky the Trick-Lovin' Pup</t>
  </si>
  <si>
    <t>Interaktivt legetøj</t>
  </si>
  <si>
    <t>LEGO City Police Station</t>
  </si>
  <si>
    <t>Mattel Games Pictionary</t>
  </si>
  <si>
    <t>PJ Masks Headquarters Playset</t>
  </si>
  <si>
    <t>PJ Masks</t>
  </si>
  <si>
    <t>Hot Wheels Criss Cross Crash Track Set</t>
  </si>
  <si>
    <t>VTech Go! Go! Smart Wheels Race Car</t>
  </si>
  <si>
    <t>VTech</t>
  </si>
  <si>
    <t>Profit</t>
  </si>
  <si>
    <t>I alt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</si>
</sst>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#,##0.00\ &quot;kr.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70" fontId="0" fillId="0" borderId="0" xfId="0" applyNumberFormat="1"/>
    <xf numFmtId="0" fontId="1" fillId="0" borderId="0" xfId="0" applyFont="1"/>
    <xf numFmtId="170" fontId="1" fillId="0" borderId="0" xfId="0" applyNumberFormat="1" applyFont="1"/>
  </cellXfs>
  <cellStyles count="1">
    <cellStyle name="Normal" xfId="0" builtinId="0"/>
  </cellStyles>
  <dxfs count="5">
    <dxf>
      <numFmt numFmtId="0" formatCode="General"/>
    </dxf>
    <dxf>
      <numFmt numFmtId="170" formatCode="#,##0.00\ &quot;kr.&quot;"/>
    </dxf>
    <dxf>
      <numFmt numFmtId="170" formatCode="#,##0.00\ &quot;kr.&quot;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CE8F5A5-D345-4F47-BBB7-8E55BB733FBD}" autoFormatId="16" applyNumberFormats="0" applyBorderFormats="0" applyFontFormats="0" applyPatternFormats="0" applyAlignmentFormats="0" applyWidthHeightFormats="0">
  <queryTableRefresh nextId="7">
    <queryTableFields count="6">
      <queryTableField id="1" name="Produkt ID" tableColumnId="1"/>
      <queryTableField id="2" name="Produktnavn" tableColumnId="2"/>
      <queryTableField id="3" name="Kategori" tableColumnId="3"/>
      <queryTableField id="4" name="Pris" tableColumnId="4"/>
      <queryTableField id="5" name="Antal solgt" tableColumnId="5"/>
      <queryTableField id="6" name="Samlet profi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4B45C4-669B-4D05-9FF1-1F1FC33F8091}" name="data" displayName="data" ref="A1:F51" tableType="queryTable" totalsRowShown="0">
  <autoFilter ref="A1:F51" xr:uid="{694B45C4-669B-4D05-9FF1-1F1FC33F8091}"/>
  <tableColumns count="6">
    <tableColumn id="1" xr3:uid="{F5C0B44A-0669-47F5-B0C7-3B78EFDFCD3E}" uniqueName="1" name="Produkt ID" queryTableFieldId="1"/>
    <tableColumn id="2" xr3:uid="{53672217-766D-4906-9763-FA6DD7F530C9}" uniqueName="2" name="Produktnavn" queryTableFieldId="2" dataDxfId="4"/>
    <tableColumn id="3" xr3:uid="{4038072E-85CA-4D1C-BCE8-532358A2A6C6}" uniqueName="3" name="Kategori" queryTableFieldId="3" dataDxfId="3"/>
    <tableColumn id="4" xr3:uid="{A41832A2-0923-4806-9809-A519D10EFC4B}" uniqueName="4" name="Pris" queryTableFieldId="4" dataDxfId="2"/>
    <tableColumn id="5" xr3:uid="{BA6A84E8-E01E-4034-B99D-736C4901F1B8}" uniqueName="5" name="Antal solgt" queryTableFieldId="5" dataDxfId="0"/>
    <tableColumn id="6" xr3:uid="{0A43685E-B894-4DF2-A22D-A8ED2E585C6A}" uniqueName="6" name="Profit" queryTableFieldId="6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76391-30FD-473E-A33D-FD0131A0D4D3}">
  <dimension ref="A1:F53"/>
  <sheetViews>
    <sheetView tabSelected="1" workbookViewId="0">
      <selection activeCell="I50" sqref="I50"/>
    </sheetView>
  </sheetViews>
  <sheetFormatPr defaultRowHeight="15" x14ac:dyDescent="0.25"/>
  <cols>
    <col min="1" max="1" width="19.85546875" customWidth="1"/>
    <col min="2" max="2" width="54.7109375" customWidth="1"/>
    <col min="3" max="3" width="25.140625" customWidth="1"/>
    <col min="4" max="4" width="21.140625" customWidth="1"/>
    <col min="5" max="5" width="15.7109375" customWidth="1"/>
    <col min="6" max="6" width="22.570312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85</v>
      </c>
    </row>
    <row r="2" spans="1:6" x14ac:dyDescent="0.25">
      <c r="A2">
        <v>101</v>
      </c>
      <c r="B2" s="1" t="s">
        <v>5</v>
      </c>
      <c r="C2" s="1" t="s">
        <v>6</v>
      </c>
      <c r="D2" s="2">
        <v>1199</v>
      </c>
      <c r="E2" s="1">
        <v>500</v>
      </c>
      <c r="F2" s="2">
        <f>data[[#This Row],[Pris]]*data[[#This Row],[Antal solgt]]</f>
        <v>599500</v>
      </c>
    </row>
    <row r="3" spans="1:6" x14ac:dyDescent="0.25">
      <c r="A3">
        <v>102</v>
      </c>
      <c r="B3" s="1" t="s">
        <v>7</v>
      </c>
      <c r="C3" s="1" t="s">
        <v>8</v>
      </c>
      <c r="D3" s="2">
        <v>1999</v>
      </c>
      <c r="E3" s="1">
        <v>200</v>
      </c>
      <c r="F3" s="2">
        <f>data[[#This Row],[Pris]]*data[[#This Row],[Antal solgt]]</f>
        <v>399800</v>
      </c>
    </row>
    <row r="4" spans="1:6" x14ac:dyDescent="0.25">
      <c r="A4">
        <v>103</v>
      </c>
      <c r="B4" s="1" t="s">
        <v>9</v>
      </c>
      <c r="C4" s="1" t="s">
        <v>10</v>
      </c>
      <c r="D4" s="2">
        <v>299</v>
      </c>
      <c r="E4" s="1">
        <v>800</v>
      </c>
      <c r="F4" s="2">
        <f>data[[#This Row],[Pris]]*data[[#This Row],[Antal solgt]]</f>
        <v>239200</v>
      </c>
    </row>
    <row r="5" spans="1:6" x14ac:dyDescent="0.25">
      <c r="A5">
        <v>104</v>
      </c>
      <c r="B5" s="1" t="s">
        <v>11</v>
      </c>
      <c r="C5" s="1" t="s">
        <v>12</v>
      </c>
      <c r="D5" s="2">
        <v>449</v>
      </c>
      <c r="E5" s="1">
        <v>350</v>
      </c>
      <c r="F5" s="2">
        <f>data[[#This Row],[Pris]]*data[[#This Row],[Antal solgt]]</f>
        <v>157150</v>
      </c>
    </row>
    <row r="6" spans="1:6" x14ac:dyDescent="0.25">
      <c r="A6">
        <v>105</v>
      </c>
      <c r="B6" s="1" t="s">
        <v>13</v>
      </c>
      <c r="C6" s="1" t="s">
        <v>14</v>
      </c>
      <c r="D6" s="2">
        <v>199</v>
      </c>
      <c r="E6" s="1">
        <v>300</v>
      </c>
      <c r="F6" s="2">
        <f>data[[#This Row],[Pris]]*data[[#This Row],[Antal solgt]]</f>
        <v>59700</v>
      </c>
    </row>
    <row r="7" spans="1:6" x14ac:dyDescent="0.25">
      <c r="A7">
        <v>106</v>
      </c>
      <c r="B7" s="1" t="s">
        <v>15</v>
      </c>
      <c r="C7" s="1" t="s">
        <v>16</v>
      </c>
      <c r="D7" s="2">
        <v>299</v>
      </c>
      <c r="E7" s="1">
        <v>600</v>
      </c>
      <c r="F7" s="2">
        <f>data[[#This Row],[Pris]]*data[[#This Row],[Antal solgt]]</f>
        <v>179400</v>
      </c>
    </row>
    <row r="8" spans="1:6" x14ac:dyDescent="0.25">
      <c r="A8">
        <v>107</v>
      </c>
      <c r="B8" s="1" t="s">
        <v>17</v>
      </c>
      <c r="C8" s="1" t="s">
        <v>18</v>
      </c>
      <c r="D8" s="2">
        <v>99</v>
      </c>
      <c r="E8" s="1">
        <v>400</v>
      </c>
      <c r="F8" s="2">
        <f>data[[#This Row],[Pris]]*data[[#This Row],[Antal solgt]]</f>
        <v>39600</v>
      </c>
    </row>
    <row r="9" spans="1:6" x14ac:dyDescent="0.25">
      <c r="A9">
        <v>108</v>
      </c>
      <c r="B9" s="1" t="s">
        <v>19</v>
      </c>
      <c r="C9" s="1" t="s">
        <v>20</v>
      </c>
      <c r="D9" s="2">
        <v>249</v>
      </c>
      <c r="E9" s="1">
        <v>700</v>
      </c>
      <c r="F9" s="2">
        <f>data[[#This Row],[Pris]]*data[[#This Row],[Antal solgt]]</f>
        <v>174300</v>
      </c>
    </row>
    <row r="10" spans="1:6" x14ac:dyDescent="0.25">
      <c r="A10">
        <v>109</v>
      </c>
      <c r="B10" s="1" t="s">
        <v>21</v>
      </c>
      <c r="C10" s="1" t="s">
        <v>22</v>
      </c>
      <c r="D10" s="2">
        <v>149</v>
      </c>
      <c r="E10" s="1">
        <v>1000</v>
      </c>
      <c r="F10" s="2">
        <f>data[[#This Row],[Pris]]*data[[#This Row],[Antal solgt]]</f>
        <v>149000</v>
      </c>
    </row>
    <row r="11" spans="1:6" x14ac:dyDescent="0.25">
      <c r="A11">
        <v>110</v>
      </c>
      <c r="B11" s="1" t="s">
        <v>23</v>
      </c>
      <c r="C11" s="1" t="s">
        <v>24</v>
      </c>
      <c r="D11" s="2">
        <v>4999</v>
      </c>
      <c r="E11" s="1">
        <v>150</v>
      </c>
      <c r="F11" s="2">
        <f>data[[#This Row],[Pris]]*data[[#This Row],[Antal solgt]]</f>
        <v>749850</v>
      </c>
    </row>
    <row r="12" spans="1:6" x14ac:dyDescent="0.25">
      <c r="A12">
        <v>111</v>
      </c>
      <c r="B12" s="1" t="s">
        <v>25</v>
      </c>
      <c r="C12" s="1" t="s">
        <v>6</v>
      </c>
      <c r="D12" s="2">
        <v>1499</v>
      </c>
      <c r="E12" s="1">
        <v>450</v>
      </c>
      <c r="F12" s="2">
        <f>data[[#This Row],[Pris]]*data[[#This Row],[Antal solgt]]</f>
        <v>674550</v>
      </c>
    </row>
    <row r="13" spans="1:6" x14ac:dyDescent="0.25">
      <c r="A13">
        <v>112</v>
      </c>
      <c r="B13" s="1" t="s">
        <v>26</v>
      </c>
      <c r="C13" s="1" t="s">
        <v>27</v>
      </c>
      <c r="D13" s="2">
        <v>199</v>
      </c>
      <c r="E13" s="1">
        <v>250</v>
      </c>
      <c r="F13" s="2">
        <f>data[[#This Row],[Pris]]*data[[#This Row],[Antal solgt]]</f>
        <v>49750</v>
      </c>
    </row>
    <row r="14" spans="1:6" x14ac:dyDescent="0.25">
      <c r="A14">
        <v>113</v>
      </c>
      <c r="B14" s="1" t="s">
        <v>28</v>
      </c>
      <c r="C14" s="1" t="s">
        <v>24</v>
      </c>
      <c r="D14" s="2">
        <v>1999</v>
      </c>
      <c r="E14" s="1">
        <v>180</v>
      </c>
      <c r="F14" s="2">
        <f>data[[#This Row],[Pris]]*data[[#This Row],[Antal solgt]]</f>
        <v>359820</v>
      </c>
    </row>
    <row r="15" spans="1:6" x14ac:dyDescent="0.25">
      <c r="A15">
        <v>114</v>
      </c>
      <c r="B15" s="1" t="s">
        <v>29</v>
      </c>
      <c r="C15" s="1" t="s">
        <v>30</v>
      </c>
      <c r="D15" s="2">
        <v>299</v>
      </c>
      <c r="E15" s="1">
        <v>400</v>
      </c>
      <c r="F15" s="2">
        <f>data[[#This Row],[Pris]]*data[[#This Row],[Antal solgt]]</f>
        <v>119600</v>
      </c>
    </row>
    <row r="16" spans="1:6" x14ac:dyDescent="0.25">
      <c r="A16">
        <v>115</v>
      </c>
      <c r="B16" s="1" t="s">
        <v>31</v>
      </c>
      <c r="C16" s="1" t="s">
        <v>20</v>
      </c>
      <c r="D16" s="2">
        <v>399</v>
      </c>
      <c r="E16" s="1">
        <v>300</v>
      </c>
      <c r="F16" s="2">
        <f>data[[#This Row],[Pris]]*data[[#This Row],[Antal solgt]]</f>
        <v>119700</v>
      </c>
    </row>
    <row r="17" spans="1:6" x14ac:dyDescent="0.25">
      <c r="A17">
        <v>116</v>
      </c>
      <c r="B17" s="1" t="s">
        <v>32</v>
      </c>
      <c r="C17" s="1" t="s">
        <v>18</v>
      </c>
      <c r="D17" s="2">
        <v>199</v>
      </c>
      <c r="E17" s="1">
        <v>800</v>
      </c>
      <c r="F17" s="2">
        <f>data[[#This Row],[Pris]]*data[[#This Row],[Antal solgt]]</f>
        <v>159200</v>
      </c>
    </row>
    <row r="18" spans="1:6" x14ac:dyDescent="0.25">
      <c r="A18">
        <v>117</v>
      </c>
      <c r="B18" s="1" t="s">
        <v>33</v>
      </c>
      <c r="C18" s="1" t="s">
        <v>34</v>
      </c>
      <c r="D18" s="2">
        <v>299</v>
      </c>
      <c r="E18" s="1">
        <v>700</v>
      </c>
      <c r="F18" s="2">
        <f>data[[#This Row],[Pris]]*data[[#This Row],[Antal solgt]]</f>
        <v>209300</v>
      </c>
    </row>
    <row r="19" spans="1:6" x14ac:dyDescent="0.25">
      <c r="A19">
        <v>118</v>
      </c>
      <c r="B19" s="1" t="s">
        <v>35</v>
      </c>
      <c r="C19" s="1" t="s">
        <v>36</v>
      </c>
      <c r="D19" s="2">
        <v>499</v>
      </c>
      <c r="E19" s="1">
        <v>600</v>
      </c>
      <c r="F19" s="2">
        <f>data[[#This Row],[Pris]]*data[[#This Row],[Antal solgt]]</f>
        <v>299400</v>
      </c>
    </row>
    <row r="20" spans="1:6" x14ac:dyDescent="0.25">
      <c r="A20">
        <v>119</v>
      </c>
      <c r="B20" s="1" t="s">
        <v>37</v>
      </c>
      <c r="C20" s="1" t="s">
        <v>6</v>
      </c>
      <c r="D20" s="2">
        <v>2499</v>
      </c>
      <c r="E20" s="1">
        <v>200</v>
      </c>
      <c r="F20" s="2">
        <f>data[[#This Row],[Pris]]*data[[#This Row],[Antal solgt]]</f>
        <v>499800</v>
      </c>
    </row>
    <row r="21" spans="1:6" x14ac:dyDescent="0.25">
      <c r="A21">
        <v>120</v>
      </c>
      <c r="B21" s="1" t="s">
        <v>38</v>
      </c>
      <c r="C21" s="1" t="s">
        <v>39</v>
      </c>
      <c r="D21" s="2">
        <v>399</v>
      </c>
      <c r="E21" s="1">
        <v>500</v>
      </c>
      <c r="F21" s="2">
        <f>data[[#This Row],[Pris]]*data[[#This Row],[Antal solgt]]</f>
        <v>199500</v>
      </c>
    </row>
    <row r="22" spans="1:6" x14ac:dyDescent="0.25">
      <c r="A22">
        <v>121</v>
      </c>
      <c r="B22" s="1" t="s">
        <v>40</v>
      </c>
      <c r="C22" s="1" t="s">
        <v>12</v>
      </c>
      <c r="D22" s="2">
        <v>349</v>
      </c>
      <c r="E22" s="1">
        <v>750</v>
      </c>
      <c r="F22" s="2">
        <f>data[[#This Row],[Pris]]*data[[#This Row],[Antal solgt]]</f>
        <v>261750</v>
      </c>
    </row>
    <row r="23" spans="1:6" x14ac:dyDescent="0.25">
      <c r="A23">
        <v>122</v>
      </c>
      <c r="B23" s="1" t="s">
        <v>41</v>
      </c>
      <c r="C23" s="1" t="s">
        <v>30</v>
      </c>
      <c r="D23" s="2">
        <v>199</v>
      </c>
      <c r="E23" s="1">
        <v>1200</v>
      </c>
      <c r="F23" s="2">
        <f>data[[#This Row],[Pris]]*data[[#This Row],[Antal solgt]]</f>
        <v>238800</v>
      </c>
    </row>
    <row r="24" spans="1:6" x14ac:dyDescent="0.25">
      <c r="A24">
        <v>123</v>
      </c>
      <c r="B24" s="1" t="s">
        <v>42</v>
      </c>
      <c r="C24" s="1" t="s">
        <v>43</v>
      </c>
      <c r="D24" s="2">
        <v>149</v>
      </c>
      <c r="E24" s="1">
        <v>1000</v>
      </c>
      <c r="F24" s="2">
        <f>data[[#This Row],[Pris]]*data[[#This Row],[Antal solgt]]</f>
        <v>149000</v>
      </c>
    </row>
    <row r="25" spans="1:6" x14ac:dyDescent="0.25">
      <c r="A25">
        <v>124</v>
      </c>
      <c r="B25" s="1" t="s">
        <v>44</v>
      </c>
      <c r="C25" s="1" t="s">
        <v>45</v>
      </c>
      <c r="D25" s="2">
        <v>399</v>
      </c>
      <c r="E25" s="1">
        <v>400</v>
      </c>
      <c r="F25" s="2">
        <f>data[[#This Row],[Pris]]*data[[#This Row],[Antal solgt]]</f>
        <v>159600</v>
      </c>
    </row>
    <row r="26" spans="1:6" x14ac:dyDescent="0.25">
      <c r="A26">
        <v>125</v>
      </c>
      <c r="B26" s="1" t="s">
        <v>46</v>
      </c>
      <c r="C26" s="1" t="s">
        <v>47</v>
      </c>
      <c r="D26" s="2">
        <v>249</v>
      </c>
      <c r="E26" s="1">
        <v>300</v>
      </c>
      <c r="F26" s="2">
        <f>data[[#This Row],[Pris]]*data[[#This Row],[Antal solgt]]</f>
        <v>74700</v>
      </c>
    </row>
    <row r="27" spans="1:6" x14ac:dyDescent="0.25">
      <c r="A27">
        <v>126</v>
      </c>
      <c r="B27" s="1" t="s">
        <v>48</v>
      </c>
      <c r="C27" s="1" t="s">
        <v>20</v>
      </c>
      <c r="D27" s="2">
        <v>79</v>
      </c>
      <c r="E27" s="1">
        <v>1500</v>
      </c>
      <c r="F27" s="2">
        <f>data[[#This Row],[Pris]]*data[[#This Row],[Antal solgt]]</f>
        <v>118500</v>
      </c>
    </row>
    <row r="28" spans="1:6" x14ac:dyDescent="0.25">
      <c r="A28">
        <v>127</v>
      </c>
      <c r="B28" s="1" t="s">
        <v>49</v>
      </c>
      <c r="C28" s="1" t="s">
        <v>45</v>
      </c>
      <c r="D28" s="2">
        <v>299</v>
      </c>
      <c r="E28" s="1">
        <v>250</v>
      </c>
      <c r="F28" s="2">
        <f>data[[#This Row],[Pris]]*data[[#This Row],[Antal solgt]]</f>
        <v>74750</v>
      </c>
    </row>
    <row r="29" spans="1:6" x14ac:dyDescent="0.25">
      <c r="A29">
        <v>128</v>
      </c>
      <c r="B29" s="1" t="s">
        <v>50</v>
      </c>
      <c r="C29" s="1" t="s">
        <v>45</v>
      </c>
      <c r="D29" s="2">
        <v>799</v>
      </c>
      <c r="E29" s="1">
        <v>200</v>
      </c>
      <c r="F29" s="2">
        <f>data[[#This Row],[Pris]]*data[[#This Row],[Antal solgt]]</f>
        <v>159800</v>
      </c>
    </row>
    <row r="30" spans="1:6" x14ac:dyDescent="0.25">
      <c r="A30">
        <v>129</v>
      </c>
      <c r="B30" s="1" t="s">
        <v>51</v>
      </c>
      <c r="C30" s="1" t="s">
        <v>52</v>
      </c>
      <c r="D30" s="2">
        <v>199</v>
      </c>
      <c r="E30" s="1">
        <v>800</v>
      </c>
      <c r="F30" s="2">
        <f>data[[#This Row],[Pris]]*data[[#This Row],[Antal solgt]]</f>
        <v>159200</v>
      </c>
    </row>
    <row r="31" spans="1:6" x14ac:dyDescent="0.25">
      <c r="A31">
        <v>130</v>
      </c>
      <c r="B31" s="1" t="s">
        <v>53</v>
      </c>
      <c r="C31" s="1" t="s">
        <v>30</v>
      </c>
      <c r="D31" s="2">
        <v>599</v>
      </c>
      <c r="E31" s="1">
        <v>300</v>
      </c>
      <c r="F31" s="2">
        <f>data[[#This Row],[Pris]]*data[[#This Row],[Antal solgt]]</f>
        <v>179700</v>
      </c>
    </row>
    <row r="32" spans="1:6" x14ac:dyDescent="0.25">
      <c r="A32">
        <v>131</v>
      </c>
      <c r="B32" s="1" t="s">
        <v>54</v>
      </c>
      <c r="C32" s="1" t="s">
        <v>6</v>
      </c>
      <c r="D32" s="2">
        <v>699</v>
      </c>
      <c r="E32" s="1">
        <v>400</v>
      </c>
      <c r="F32" s="2">
        <f>data[[#This Row],[Pris]]*data[[#This Row],[Antal solgt]]</f>
        <v>279600</v>
      </c>
    </row>
    <row r="33" spans="1:6" x14ac:dyDescent="0.25">
      <c r="A33">
        <v>132</v>
      </c>
      <c r="B33" s="1" t="s">
        <v>55</v>
      </c>
      <c r="C33" s="1" t="s">
        <v>56</v>
      </c>
      <c r="D33" s="2">
        <v>199</v>
      </c>
      <c r="E33" s="1">
        <v>600</v>
      </c>
      <c r="F33" s="2">
        <f>data[[#This Row],[Pris]]*data[[#This Row],[Antal solgt]]</f>
        <v>119400</v>
      </c>
    </row>
    <row r="34" spans="1:6" x14ac:dyDescent="0.25">
      <c r="A34">
        <v>133</v>
      </c>
      <c r="B34" s="1" t="s">
        <v>57</v>
      </c>
      <c r="C34" s="1" t="s">
        <v>58</v>
      </c>
      <c r="D34" s="2">
        <v>249</v>
      </c>
      <c r="E34" s="1">
        <v>250</v>
      </c>
      <c r="F34" s="2">
        <f>data[[#This Row],[Pris]]*data[[#This Row],[Antal solgt]]</f>
        <v>62250</v>
      </c>
    </row>
    <row r="35" spans="1:6" x14ac:dyDescent="0.25">
      <c r="A35">
        <v>134</v>
      </c>
      <c r="B35" s="1" t="s">
        <v>59</v>
      </c>
      <c r="C35" s="1" t="s">
        <v>24</v>
      </c>
      <c r="D35" s="2">
        <v>999</v>
      </c>
      <c r="E35" s="1">
        <v>180</v>
      </c>
      <c r="F35" s="2">
        <f>data[[#This Row],[Pris]]*data[[#This Row],[Antal solgt]]</f>
        <v>179820</v>
      </c>
    </row>
    <row r="36" spans="1:6" x14ac:dyDescent="0.25">
      <c r="A36">
        <v>135</v>
      </c>
      <c r="B36" s="1" t="s">
        <v>60</v>
      </c>
      <c r="C36" s="1" t="s">
        <v>61</v>
      </c>
      <c r="D36" s="2">
        <v>149</v>
      </c>
      <c r="E36" s="1">
        <v>700</v>
      </c>
      <c r="F36" s="2">
        <f>data[[#This Row],[Pris]]*data[[#This Row],[Antal solgt]]</f>
        <v>104300</v>
      </c>
    </row>
    <row r="37" spans="1:6" x14ac:dyDescent="0.25">
      <c r="A37">
        <v>136</v>
      </c>
      <c r="B37" s="1" t="s">
        <v>62</v>
      </c>
      <c r="C37" s="1" t="s">
        <v>30</v>
      </c>
      <c r="D37" s="2">
        <v>99</v>
      </c>
      <c r="E37" s="1">
        <v>1200</v>
      </c>
      <c r="F37" s="2">
        <f>data[[#This Row],[Pris]]*data[[#This Row],[Antal solgt]]</f>
        <v>118800</v>
      </c>
    </row>
    <row r="38" spans="1:6" x14ac:dyDescent="0.25">
      <c r="A38">
        <v>137</v>
      </c>
      <c r="B38" s="1" t="s">
        <v>63</v>
      </c>
      <c r="C38" s="1" t="s">
        <v>64</v>
      </c>
      <c r="D38" s="2">
        <v>349</v>
      </c>
      <c r="E38" s="1">
        <v>500</v>
      </c>
      <c r="F38" s="2">
        <f>data[[#This Row],[Pris]]*data[[#This Row],[Antal solgt]]</f>
        <v>174500</v>
      </c>
    </row>
    <row r="39" spans="1:6" x14ac:dyDescent="0.25">
      <c r="A39">
        <v>138</v>
      </c>
      <c r="B39" s="1" t="s">
        <v>65</v>
      </c>
      <c r="C39" s="1" t="s">
        <v>18</v>
      </c>
      <c r="D39" s="2">
        <v>249</v>
      </c>
      <c r="E39" s="1">
        <v>450</v>
      </c>
      <c r="F39" s="2">
        <f>data[[#This Row],[Pris]]*data[[#This Row],[Antal solgt]]</f>
        <v>112050</v>
      </c>
    </row>
    <row r="40" spans="1:6" x14ac:dyDescent="0.25">
      <c r="A40">
        <v>139</v>
      </c>
      <c r="B40" s="1" t="s">
        <v>66</v>
      </c>
      <c r="C40" s="1" t="s">
        <v>16</v>
      </c>
      <c r="D40" s="2">
        <v>399</v>
      </c>
      <c r="E40" s="1">
        <v>350</v>
      </c>
      <c r="F40" s="2">
        <f>data[[#This Row],[Pris]]*data[[#This Row],[Antal solgt]]</f>
        <v>139650</v>
      </c>
    </row>
    <row r="41" spans="1:6" x14ac:dyDescent="0.25">
      <c r="A41">
        <v>140</v>
      </c>
      <c r="B41" s="1" t="s">
        <v>67</v>
      </c>
      <c r="C41" s="1" t="s">
        <v>68</v>
      </c>
      <c r="D41" s="2">
        <v>129</v>
      </c>
      <c r="E41" s="1">
        <v>800</v>
      </c>
      <c r="F41" s="2">
        <f>data[[#This Row],[Pris]]*data[[#This Row],[Antal solgt]]</f>
        <v>103200</v>
      </c>
    </row>
    <row r="42" spans="1:6" x14ac:dyDescent="0.25">
      <c r="A42">
        <v>141</v>
      </c>
      <c r="B42" s="1" t="s">
        <v>69</v>
      </c>
      <c r="C42" s="1" t="s">
        <v>45</v>
      </c>
      <c r="D42" s="2">
        <v>499</v>
      </c>
      <c r="E42" s="1">
        <v>300</v>
      </c>
      <c r="F42" s="2">
        <f>data[[#This Row],[Pris]]*data[[#This Row],[Antal solgt]]</f>
        <v>149700</v>
      </c>
    </row>
    <row r="43" spans="1:6" x14ac:dyDescent="0.25">
      <c r="A43">
        <v>142</v>
      </c>
      <c r="B43" s="1" t="s">
        <v>70</v>
      </c>
      <c r="C43" s="1" t="s">
        <v>71</v>
      </c>
      <c r="D43" s="2">
        <v>199</v>
      </c>
      <c r="E43" s="1">
        <v>600</v>
      </c>
      <c r="F43" s="2">
        <f>data[[#This Row],[Pris]]*data[[#This Row],[Antal solgt]]</f>
        <v>119400</v>
      </c>
    </row>
    <row r="44" spans="1:6" x14ac:dyDescent="0.25">
      <c r="A44">
        <v>143</v>
      </c>
      <c r="B44" s="1" t="s">
        <v>72</v>
      </c>
      <c r="C44" s="1" t="s">
        <v>73</v>
      </c>
      <c r="D44" s="2">
        <v>199</v>
      </c>
      <c r="E44" s="1">
        <v>700</v>
      </c>
      <c r="F44" s="2">
        <f>data[[#This Row],[Pris]]*data[[#This Row],[Antal solgt]]</f>
        <v>139300</v>
      </c>
    </row>
    <row r="45" spans="1:6" x14ac:dyDescent="0.25">
      <c r="A45">
        <v>144</v>
      </c>
      <c r="B45" s="1" t="s">
        <v>74</v>
      </c>
      <c r="C45" s="1" t="s">
        <v>75</v>
      </c>
      <c r="D45" s="2">
        <v>399</v>
      </c>
      <c r="E45" s="1">
        <v>200</v>
      </c>
      <c r="F45" s="2">
        <f>data[[#This Row],[Pris]]*data[[#This Row],[Antal solgt]]</f>
        <v>79800</v>
      </c>
    </row>
    <row r="46" spans="1:6" x14ac:dyDescent="0.25">
      <c r="A46">
        <v>145</v>
      </c>
      <c r="B46" s="1" t="s">
        <v>76</v>
      </c>
      <c r="C46" s="1" t="s">
        <v>77</v>
      </c>
      <c r="D46" s="2">
        <v>129</v>
      </c>
      <c r="E46" s="1">
        <v>150</v>
      </c>
      <c r="F46" s="2">
        <f>data[[#This Row],[Pris]]*data[[#This Row],[Antal solgt]]</f>
        <v>19350</v>
      </c>
    </row>
    <row r="47" spans="1:6" x14ac:dyDescent="0.25">
      <c r="A47">
        <v>146</v>
      </c>
      <c r="B47" s="1" t="s">
        <v>78</v>
      </c>
      <c r="C47" s="1" t="s">
        <v>6</v>
      </c>
      <c r="D47" s="2">
        <v>999</v>
      </c>
      <c r="E47" s="1">
        <v>250</v>
      </c>
      <c r="F47" s="2">
        <f>data[[#This Row],[Pris]]*data[[#This Row],[Antal solgt]]</f>
        <v>249750</v>
      </c>
    </row>
    <row r="48" spans="1:6" x14ac:dyDescent="0.25">
      <c r="A48">
        <v>147</v>
      </c>
      <c r="B48" s="1" t="s">
        <v>79</v>
      </c>
      <c r="C48" s="1" t="s">
        <v>20</v>
      </c>
      <c r="D48" s="2">
        <v>199</v>
      </c>
      <c r="E48" s="1">
        <v>400</v>
      </c>
      <c r="F48" s="2">
        <f>data[[#This Row],[Pris]]*data[[#This Row],[Antal solgt]]</f>
        <v>79600</v>
      </c>
    </row>
    <row r="49" spans="1:6" x14ac:dyDescent="0.25">
      <c r="A49">
        <v>148</v>
      </c>
      <c r="B49" s="1" t="s">
        <v>80</v>
      </c>
      <c r="C49" s="1" t="s">
        <v>81</v>
      </c>
      <c r="D49" s="2">
        <v>399</v>
      </c>
      <c r="E49" s="1">
        <v>300</v>
      </c>
      <c r="F49" s="2">
        <f>data[[#This Row],[Pris]]*data[[#This Row],[Antal solgt]]</f>
        <v>119700</v>
      </c>
    </row>
    <row r="50" spans="1:6" x14ac:dyDescent="0.25">
      <c r="A50">
        <v>149</v>
      </c>
      <c r="B50" s="1" t="s">
        <v>82</v>
      </c>
      <c r="C50" s="1" t="s">
        <v>12</v>
      </c>
      <c r="D50" s="2">
        <v>499</v>
      </c>
      <c r="E50" s="1">
        <v>350</v>
      </c>
      <c r="F50" s="2">
        <f>data[[#This Row],[Pris]]*data[[#This Row],[Antal solgt]]</f>
        <v>174650</v>
      </c>
    </row>
    <row r="51" spans="1:6" x14ac:dyDescent="0.25">
      <c r="A51">
        <v>150</v>
      </c>
      <c r="B51" s="1" t="s">
        <v>83</v>
      </c>
      <c r="C51" s="1" t="s">
        <v>84</v>
      </c>
      <c r="D51" s="2">
        <v>399</v>
      </c>
      <c r="E51" s="1">
        <v>1200</v>
      </c>
      <c r="F51" s="2">
        <f>data[[#This Row],[Pris]]*data[[#This Row],[Antal solgt]]</f>
        <v>478800</v>
      </c>
    </row>
    <row r="53" spans="1:6" x14ac:dyDescent="0.25">
      <c r="E53" s="3" t="s">
        <v>86</v>
      </c>
      <c r="F53" s="4">
        <f>SUM(data[Profit])</f>
        <v>10017540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6472C7-766D-43E1-B6B7-6E8C941AF4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Regnskab Q4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2023-11-14T11:38:53Z</dcterms:created>
  <dcterms:modified xsi:type="dcterms:W3CDTF">2023-11-14T22:42:22Z</dcterms:modified>
</cp:coreProperties>
</file>